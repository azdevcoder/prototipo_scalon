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Desktop\opencode\documentos\"/>
    </mc:Choice>
  </mc:AlternateContent>
  <xr:revisionPtr revIDLastSave="0" documentId="13_ncr:1_{400D44D9-F7C2-4976-B506-F630651D73F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omparativo" sheetId="1" r:id="rId1"/>
    <sheet name="Premissas_e_Fontes" sheetId="2" r:id="rId2"/>
  </sheets>
  <definedNames>
    <definedName name="_xlnm._FilterDatabase" localSheetId="0" hidden="1">Comparativo!$A$1:$E$22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2" i="1" l="1"/>
  <c r="C21" i="1"/>
  <c r="B21" i="1"/>
  <c r="C20" i="1"/>
  <c r="B20" i="1"/>
  <c r="C19" i="1"/>
  <c r="B19" i="1"/>
  <c r="C18" i="1"/>
  <c r="B18" i="1"/>
  <c r="C17" i="1"/>
  <c r="B17" i="1"/>
  <c r="C16" i="1"/>
  <c r="B16" i="1"/>
  <c r="C15" i="1"/>
  <c r="B15" i="1"/>
  <c r="C14" i="1"/>
  <c r="B14" i="1"/>
  <c r="C13" i="1"/>
  <c r="B13" i="1"/>
  <c r="C12" i="1"/>
  <c r="B12" i="1"/>
  <c r="C11" i="1"/>
  <c r="B11" i="1"/>
  <c r="C10" i="1"/>
  <c r="B10" i="1"/>
  <c r="C9" i="1"/>
  <c r="B9" i="1"/>
  <c r="C8" i="1"/>
  <c r="B8" i="1"/>
  <c r="C7" i="1"/>
  <c r="B7" i="1"/>
  <c r="C6" i="1"/>
  <c r="B6" i="1"/>
  <c r="C5" i="1"/>
  <c r="B5" i="1"/>
  <c r="C4" i="1"/>
  <c r="B4" i="1"/>
  <c r="C3" i="1"/>
  <c r="B3" i="1"/>
  <c r="C2" i="1"/>
  <c r="B2" i="1"/>
</calcChain>
</file>

<file path=xl/sharedStrings.xml><?xml version="1.0" encoding="utf-8"?>
<sst xmlns="http://schemas.openxmlformats.org/spreadsheetml/2006/main" count="112" uniqueCount="92">
  <si>
    <t>Nome</t>
  </si>
  <si>
    <t>Valor Setup (R$)</t>
  </si>
  <si>
    <t>Valor Mensal (R$)</t>
  </si>
  <si>
    <t>Outros Valores (R$)</t>
  </si>
  <si>
    <t>Observação / Benefícios (1 linha sem quebra)</t>
  </si>
  <si>
    <t>Klaviyo</t>
  </si>
  <si>
    <t>SMS +R$77,40 base no plano Email+SMS; excedente ~R$0,05-0,16/SMS e MMS 3x + taxa de operadora por país; WhatsApp ~R$0,13/conversa Meta; excedente de perfis sobe de faixa automaticamente.</t>
  </si>
  <si>
    <t>B2C CRM omnichannel com integração nativa Shopify 1-clique (pedidos, carrinho, catálogo em tempo real): email + SMS + WhatsApp + push no mesmo perfil com flows prontos (abandono 3 emails 48-72h recupera 5-11% e 3-8% da receita, welcome, pós-compra, winback, back-in-stock), segmentação/CDP, testes A/B, atribuição de receita, IA Composer/Customer Agent e 350+ integrações; melhor custo-benefício para moda a partir de lista pequena, escala por perfis e paga-se com 1-2 carrinhos (ticket R$550-619); atenção ao database bloat (cobra todos perfis ativos) e SMS BR mais caro que EUA.</t>
  </si>
  <si>
    <t>Omnisend</t>
  </si>
  <si>
    <t>Pro + SMS add-on a partir de R$0,04/SMS (EUA, varia por país/volume: R$0,05 até R$257,99 / R$0,04 até R$5.159 / R$0,04 até R$51.599); Standard sem SMS (só Pro); desconto de 30% nos 3 primeiros meses no pré-pago trimestral.</t>
  </si>
  <si>
    <t>Email+SMS+push com integração nativa Shopify e nota 4,8/5: editor drag-drop com 250+ templates, popups/forms com IA, automações pré-montadas (abandono, welcome, pós-compra), IA de texto/recomendação de produto e conteúdo dinâmico no Pro, push ilimitado, relatórios avançados e suporte 24/7 até no Free; Standard ideal p/ começar só email e Pro quando precisar de SMS/ilimitado; mais barato que Klaviyo na entrada e ótimo p/ Scalon validar remarketing antes de escalar.</t>
  </si>
  <si>
    <t>Brevo</t>
  </si>
  <si>
    <t>SMS/WhatsApp por créditos avulsos a partir de 100 créditos (nunca expiram; preço por país + tamanho da msg + tipo de template WhatsApp); add-ons: remover logo ~R$46,44/mês, IP dedicado ~R$1.295,16/ano, SSO ~R$1.671,84/mês; créditos email avulsos sem expirar.</t>
  </si>
  <si>
    <t>Multicanal (email, SMS, WhatsApp, chat, push, transacional com API/SMTP) com integração nativa Shopify: automações, formulários, CRM de vendas e créditos pré-pagos que nunca expiram (bom p/ envio irregular); Standard libera heatmaps/relatórios e Professional libera WhatsApp+multiusuário; ponto forte é custo por envio baixo e tudo num lugar, ponto fraco é ecommerce menos profundo que Klaviyo/Omnisend e SMS BR por crédito paulatino — ideal se Scalon quer custo baixo e WhatsApp futuro no mesmo painel.</t>
  </si>
  <si>
    <t>Mailchimp</t>
  </si>
  <si>
    <t>SMS add-on cobrado à parte por país/operadora; excedente de contatos muda de faixa (ex.: ~R$232,20 em 2.500 e ~R$516,00 em 5k no Standard); Premium multinível para 200k+; anual com desconto via vendas.</t>
  </si>
  <si>
    <t>Email com integração nativa Shopify (pedidos/produtos/cupons): templates, jornadas básicas no Essentials (4 passos) e multietapas + IA + segmentação preditiva no Standard, testes multivariados e assentos ilimitados no Premium; entrega e suporte bons mas automação ecommerce e custo por contato ficam piores que Klaviyo/Omnisend ao escalar e SMS é fraco fora EUA; serve p/ Scalon se time já conhece, mas não é o melhor custo-benefício p/ remarketing avançado.</t>
  </si>
  <si>
    <t>ActiveCampaign</t>
  </si>
  <si>
    <t>SMS/WhatsApp por créditos/uso além da assinatura (varia por país); usuários e objetos customizados sobem o plano; sem taxa de setup; trial + migração/onboarding inclusos no início.</t>
  </si>
  <si>
    <t>Automação + CRM com integrações nativas Shopify/Woo (standard e premium por tier): email + WhatsApp + SMS add-on, landing pages, conteúdo preditivo/condicional, atribuição, objetos customizados, +1.000 integrações e IA Active Intelligence; forte em nutrição/B2B e réguas complexas, ecommerce bom mas menos pronto que Klaviyo (exige mais construção); bom se Scalon quiser CRM comercial junto, senão paga complexidade desnecessária.</t>
  </si>
  <si>
    <t>Drip</t>
  </si>
  <si>
    <t>Excedente por contatos acima de 2.500 (faixas automáticas); SMS via integração (Twilio/Postscript) cobrado à parte; sem taxa de setup.</t>
  </si>
  <si>
    <t>CRM ecommerce com integração nativa Shopify profunda (comportamento, LTV, RFM): email ilimitado por contato, workflows visuais, popups/forms, segmentação preditiva e playbooks de abandono/winback específicos p/ loja; simples de operar e ótimo p/ D2C, porém sem SMS/WhatsApp nativo forte (usa integração) e sem plano free — faz sentido se Scalon quer só email ecommerce poderoso e já resolve SMS/WhatsApp em outro app.</t>
  </si>
  <si>
    <t>GetResponse</t>
  </si>
  <si>
    <t>Excedente por lista (2,5k/5k/10k/25k/50k/100k); SMS, push e recomendações IA no Enterprise; 18% off no anual; trial de 14 dias.</t>
  </si>
  <si>
    <t>Email + automação + ecommerce com integração nativa Shopify: newsletters ilimitadas, editor visual, DKIM custom, timing perfeito, A/B, tracking ecommerce/GA, landing pages ilimitadas no Marketer, cursos/newsletters pagas/webinars no Creator e push/SMS/recomendação IA no Enterprise; barato na entrada e bom p/ conteúdo + loja, mas remarketing menos especializado que Klaviyo/Omnisend e WhatsApp só no Enterprise — alternativa econômica se Scalon prioriza custo e cursos/conteúdo.</t>
  </si>
  <si>
    <t>Yotpo Reviews</t>
  </si>
  <si>
    <t>Cobrança por volume de pedidos/mês + overage; Pro/Premium exigem anual em geral e sem downgrade no ciclo; bundle Reviews+Loyalty economiza até 35%; implementação Enterprise à parte.</t>
  </si>
  <si>
    <t>Reviews/UGC + Loyalty com integração nativa Shopify e com Klaviyo/Omnisend/Attentive: coleta automática pós-compra com fotos/vídeos, widgets, carrossel, rich snippets Google, moderação, SEO e analytics que alimentam as estrelas do protótipo (4,9/212) e aumentam conversão; ATENÇÃO Email/SMS próprios foram descontinuados em 31/12/2025 (usar Klaviyo/Omnisend p/ disparo); cobrança por pedidos/mês com anual e sem downgrade — essencial p/ prova social da Scalon, não como disparador.</t>
  </si>
  <si>
    <t>Postscript SMS</t>
  </si>
  <si>
    <t>Tudo além do mínimo é por mensagem: SMS R$0,05/0,04/0,04 por plano + MMS R$0,23/0,15/0,12 + operadora média R$0,02/SMS e R$0,04/MMS (EUA/Canadá; demais países por tabela); acima de 160 caracteres (70 com emoji) conta múltiplos.</t>
  </si>
  <si>
    <t>SMS especializado Shopify com integração nativa 1-clique (checkout, carrinho, pós-compra, quiz, loyalty): campanhas/automações, segmentos ilimitados, número toll-free, keywords, links curtos branded no Pro, CSM/onboarding nos tiers altos e conformidade TCPA; SMS converte 8-12% clique e soma 1-3pp sobre email no abandono (ideal como 2º toque em 1-2h após email não aberto); EUA-ótimo, BR checar cobertura/preço por país + carrier — usar sobre o email (Klaviyo/Omnisend), não sozinho.</t>
  </si>
  <si>
    <t>Attentive</t>
  </si>
  <si>
    <t>Proposta custom: plataforma + por mensagem + operadora + onboarding/gerenciado; anual recorrente; overage e serviços (CSM, criativo, migração) à parte — pedir escopo fechado em R$. Entrada típica estimada R$1.548,00-5.160,00/mês.</t>
  </si>
  <si>
    <t>SMS/email gerenciado enterprise com integração nativa Shopify (concierge, deliverability, criativo, compliance por estado): automações, segmentação granular, journeys via API e mensageria RCS/WhatsApp conforme proposta; entrega e serviço premium p/ grandes volumes, porém sem preço público, com anual e dependência do time do fornecedor; só faz sentido p/ Scalon após escalar muito (+R$300k/mês) — hoje é overkill.</t>
  </si>
  <si>
    <t>Privy</t>
  </si>
  <si>
    <t>Email por nº máximo de contatos contatáveis no ciclo (ex.: 1,5-2k R$232,20; 2-3k R$309,60; 9-10k R$851,40; 24-25k R$2.012,40) + SMS por pacotes além dos 250 inclusos (ex.: R$77,40/1.250 créditos); Displays por pageviews (25k R$247,68; 50k R$433,44; 100k R$866,88).</t>
  </si>
  <si>
    <t>Popups + email + SMS com integração nativa Shopify e foco em facilidade: popups/displays com targeting avançado/quiz, email ilimitado com templates/flows/segmentação e SMS marketing no plano combinado, relatórios de receita e estrategistas opcionais; entrada barata e rápida p/ capturar (Quero 10% OFF) e salvar carrinho sem especialista, mas automação/IA e ecommerce menos profundos que Klaviyo/Omnisend e sem free novo — bom p/ Scalon começar captura+email simples.</t>
  </si>
  <si>
    <t>Justuno</t>
  </si>
  <si>
    <t>Excedente por visitors acima de 10k no Lite / 20k no Done-for-you; verificação instantânea email/SMS, Spotlight e assentos extras conforme plano; sem contrato, trial de 14-30 dias.</t>
  </si>
  <si>
    <t>Captura/CRO com integração nativa Shopify (JS + app): popups inteligentes por comportamento, identificação de visitante, verificação instantânea, testes e estrategista CRO (no Done-for-you com Slack e gerente dedicados); não é disparador de email/SMS (empurra p/ Klaviyo/Brevo), mas aumenta base e intenção antes do abandono; ideal como camada de topo do funil da Scalon sobre o CRM.</t>
  </si>
  <si>
    <t>Shopify Email</t>
  </si>
  <si>
    <t>Excedente: R$5,16/1.000 emails até 300k, R$3,35/1.000 até 750k, R$2,84/1.000 acima; cobrado na fatura Shopify; sem assinatura extra.</t>
  </si>
  <si>
    <t>Email oficial Shopify com integração nativa total (clientes, pedidos, produtos, descontos, automações básicas no admin): 10k grátis/mês e excedente baratíssimo na fatura, templates e automações simples (abandono/checkout, welcome, pós-compra) sem sair do Shopify; imbatível em custo e simplicidade, porém segmentação/automação/atribuição fracas e sem SMS/WhatsApp avançado — base mínima perfeita p/ Scalon antes ou junto de um CRM maior.</t>
  </si>
  <si>
    <t>Shopify Inbox+Flow+Forms</t>
  </si>
  <si>
    <t>Grátis total; limites são os do plano Shopify; sem créditos e sem cobrança extra; automações avançadas exigem app de email/CRM.</t>
  </si>
  <si>
    <t>Chat + automação nativa Shopify grátis: Inbox p/ WhatsApp/Instagram/Facebook no mesmo painel com contexto do pedido, Flow p/ tags/urgência/rotinas e Forms p/ captura com desconto; zero custo e zero setup, cobre atendimento e abandono básico, mas sem journeys multicanal, scoring ou analytics de CRM — usar como complemento gratuito de qualquer opção acima.</t>
  </si>
  <si>
    <t>ManyChat</t>
  </si>
  <si>
    <t>Overage por contato extra ~R$0,10-0,52; WhatsApp por conversa Meta (~R$0,15 Am. Norte, mais na Europa) + SMS R$0,05-0,15/msg; add-on IA ~R$149,64/mês; Inbox com 3 atendentes a partir de ~R$510,84/mês + R$201,24/assento extra; anual com desconto mas overage continua mensal.</t>
  </si>
  <si>
    <t>Automação conversacional Instagram/Facebook/TikTok + WhatsApp/SMS/email com integração nativa Shopify (Pro+): comment-to-DM, funis com condições/delays, inbox unificado, Zapier/HubSpot e IA opcional; excelente p/ transformar viral/comment em lead e levar p/ PDP/carrinho, porém cobrança por contato ativo (viral encarece) + WhatsApp/SMS por uso e free de 25 contatos só p/ teste — ótimo p/ Scalon gerar demanda social que o email/SMS recupera depois.</t>
  </si>
  <si>
    <t>PushOwl (Brevio Push)</t>
  </si>
  <si>
    <t>Excedente por assinantes push/impressões acima da faixa; recursos (automação, targeting, relatórios) por tier; cobrança via Shopify em dólar convertida na fatura (~R$98,04 na entrada).</t>
  </si>
  <si>
    <t>Web push com integração nativa Shopify (1-clique, sem código): popups de opt-in, campanhas/automações de abandono, back-in-stock, queda de preço e imagem no push com relatórios por receita; CTR alto e custo baixo sem depender de email/SMS, mas só alcança inscritos do navegador e precisa de base; complemento barato e rápido p/ Scalon sobre email/WhatsApp.</t>
  </si>
  <si>
    <t>edrone</t>
  </si>
  <si>
    <t>Quote por contatos/pedidos; overage por faixa; onboarding/gerenciado e integrações custom podem entrar na proposta anual; pedir em R$ com impostos. Entrada estimada ~R$928,80/mês p/ ~5k contatos.</t>
  </si>
  <si>
    <t>CRM ecommerce com integração nativa Shopify e foco em automação pronta (abandono com produto dinâmico, RFM, recomendações IA, WhatsApp/email/SMS, popups e atendimento): onboarding assistido em PT e playbooks de moda que aceleram sem time técnico, porém preço por proposta/volume e overage por faixa exigem cotação em BRL com impostos — forte candidata BR p/ Scalon se quiser tudo gerenciado em português.</t>
  </si>
  <si>
    <t>E-goi</t>
  </si>
  <si>
    <t>Excedente por contatos + créditos SMS/WhatsApp/voz por país/tipo de template; planos mensais/anuais; sem taxa de setup. Base ~R$123,84/2.500 contatos.</t>
  </si>
  <si>
    <t>Multicanal PT-BR com integração nativa Shopify (loja, carrinho, clientes): email + SMS + WhatsApp + push + voz + forms/landing com automações e créditos por envio, suporte em português e preço em EUR por contatos acessível na entrada; menos IA/ecommerce profundo que Klaviyo, mas ótimo custo-benefício BR p/ Scalon operar tudo em português sem dólar instável.</t>
  </si>
  <si>
    <t>RD Station Marketing</t>
  </si>
  <si>
    <t>Excedente por contatos acima da faixa + WhatsApp oficial por conversa Meta + implementação parceira opcional; anual com desconto; usuários extras no Pro/Advanced. Tabelas já em R$: Light ~R$98/1k, Basic ~R$229/5k, Pro ~R$599/10k.</t>
  </si>
  <si>
    <t>Marketing BR com integração nativa Shopify via app/API (pedidos/clientes/carrinho): email + automação + landing + WhatsApp oficial, lead scoring, testes e relatórios em PT-BR com parceiros locais p/ implementação; Light/Basic acessíveis p/ começar e Pro/Advanced p/ escalar, porém cobrança por contatos totais (higiene de base obrigatória) e ecommerce menos nativo que Klaviyo/Omnisend — faz sentido se Scalon quer suporte/BR e funil com vendas.</t>
  </si>
  <si>
    <t>Sendlane</t>
  </si>
  <si>
    <t>Excedente por contatos + SMS por uso + onboarding; revisões de deliverability e migração inclusas nos tiers altos; trial disponível. Entrada ~R$510,84/2.500 contatos.</t>
  </si>
  <si>
    <t>Email+SMS+reviews com integração nativa Shopify profunda (eventos, catálogo, cupons): automação unificada, segmentação, deliverability gerenciada e playbooks D2C com trial e migração assistida; operação simples e tudo num lugar p/ loja, porém entrada mais cara (R$99) e sem WhatsApp BR forte/precificação pública detalhada BR — avaliar se ticket/lista da Scalon já justificam.</t>
  </si>
  <si>
    <t>TOTAL DE OPÇÕES</t>
  </si>
  <si>
    <t>Câmbio USD-&gt;BRL = 5,16 (dólar venda 14/09/2026, ~R$5,161 InfoMoney/Folha; ref Investing/XE ~R$5,11)</t>
  </si>
  <si>
    <t>Data da conversão: 14/09/2026. Aba Comparativo 100% em R$: Setup e Mensal via fórmula =USD*Câmbio; Outros Valores e Observações convertidos para R$ (sem US$). Verificar preço final no site oficial antes de contratar.</t>
  </si>
  <si>
    <t>Ferramenta</t>
  </si>
  <si>
    <t>Setup USD</t>
  </si>
  <si>
    <t>Mensal USD base</t>
  </si>
  <si>
    <t>Fonte oficial (preço base)</t>
  </si>
  <si>
    <t>klaviyo.com/pricing - Email 500 perfis; Free 250 perfis/500 envios</t>
  </si>
  <si>
    <t>omnisend.com/pricing + apps.shopify.com/omnisend - Standard 500 contatos; Free 250/500</t>
  </si>
  <si>
    <t>brevo.com/pricing + help.brevo.com - Starter 5k emails/mês</t>
  </si>
  <si>
    <t>mailchimp.com/pricing - Essentials 500 contatos; Free 250/500</t>
  </si>
  <si>
    <t>activecampaign.com/pricing - Starter ~1k contatos; sem setup</t>
  </si>
  <si>
    <t>drip.com/pricing - até 2.500 contatos, trial 14d</t>
  </si>
  <si>
    <t>getresponse.com/pricing - Starter 1k contatos ilimitado, -18% anual</t>
  </si>
  <si>
    <t>yotpo.com/pricing - Starter até 50 pedidos/mês; Email/SMS descontinuados em 31/12/2025</t>
  </si>
  <si>
    <t>postscript.io/pricing - Starter $0 + mínimo $49; $0.009/SMS + carrier</t>
  </si>
  <si>
    <t>attentive.com - quote custom/anual; entrada típica $300-1000+ (estimativa)</t>
  </si>
  <si>
    <t>privy.com/pricing + apps.shopify.com/privy - Email 1.500 contatos; Displays $24/10k views</t>
  </si>
  <si>
    <t>justuno.com/pricing - Lite 10k visitors; Done-for-you $299/20k</t>
  </si>
  <si>
    <t>help.shopify.com - 10k emails grátis/mês inclusos no plano Shopify</t>
  </si>
  <si>
    <t>shopify.com - chat + automação básica + forms inclusos, grátis</t>
  </si>
  <si>
    <t>manychat.com/pricing (mar/2026) - Essential 250 contatos; Pro $29/2.500; Free 25</t>
  </si>
  <si>
    <t>apps.shopify.com/pushowl - web push, a partir ~$19</t>
  </si>
  <si>
    <t>edrone.me - CRM ecommerce, quote por base; entrada estimada ~$180 p/ ~5k contatos</t>
  </si>
  <si>
    <t>e-goi.com - base ~€22/2.500 contatos multicanal; suporte PT-BR</t>
  </si>
  <si>
    <t>rdstation.com - Light ~R$98/1k contatos (~$18); Basic ~R$229/5k; Pro ~R$599/10k</t>
  </si>
  <si>
    <t>sendlane.com - Starter 2.500 contatos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</si>
</sst>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#,##0.00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b/>
      <sz val="11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0386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/>
    <xf numFmtId="0" fontId="0" fillId="0" borderId="1" xfId="0" applyBorder="1"/>
    <xf numFmtId="2" fontId="4" fillId="3" borderId="0" xfId="0" applyNumberFormat="1" applyFont="1" applyFill="1"/>
    <xf numFmtId="0" fontId="1" fillId="2" borderId="1" xfId="0" applyFont="1" applyFill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2"/>
  <sheetViews>
    <sheetView tabSelected="1"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24" customWidth="1"/>
    <col min="2" max="3" width="17" customWidth="1"/>
    <col min="4" max="4" width="66.140625" bestFit="1" customWidth="1"/>
    <col min="5" max="5" width="255.7109375" bestFit="1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.95" customHeight="1" x14ac:dyDescent="0.25">
      <c r="A2" s="2" t="s">
        <v>5</v>
      </c>
      <c r="B2" s="3">
        <f>Premissas_e_Fontes!B4*Premissas_e_Fontes!$B$1</f>
        <v>0</v>
      </c>
      <c r="C2" s="3">
        <f>Premissas_e_Fontes!C4*Premissas_e_Fontes!$B$1</f>
        <v>103.2</v>
      </c>
      <c r="D2" s="4" t="s">
        <v>6</v>
      </c>
      <c r="E2" s="5" t="s">
        <v>7</v>
      </c>
    </row>
    <row r="3" spans="1:5" ht="51.95" customHeight="1" x14ac:dyDescent="0.25">
      <c r="A3" s="2" t="s">
        <v>8</v>
      </c>
      <c r="B3" s="3">
        <f>Premissas_e_Fontes!B5*Premissas_e_Fontes!$B$1</f>
        <v>0</v>
      </c>
      <c r="C3" s="3">
        <f>Premissas_e_Fontes!C5*Premissas_e_Fontes!$B$1</f>
        <v>82.56</v>
      </c>
      <c r="D3" s="4" t="s">
        <v>9</v>
      </c>
      <c r="E3" s="5" t="s">
        <v>10</v>
      </c>
    </row>
    <row r="4" spans="1:5" ht="51.95" customHeight="1" x14ac:dyDescent="0.25">
      <c r="A4" s="2" t="s">
        <v>11</v>
      </c>
      <c r="B4" s="3">
        <f>Premissas_e_Fontes!B6*Premissas_e_Fontes!$B$1</f>
        <v>0</v>
      </c>
      <c r="C4" s="3">
        <f>Premissas_e_Fontes!C6*Premissas_e_Fontes!$B$1</f>
        <v>46.44</v>
      </c>
      <c r="D4" s="4" t="s">
        <v>12</v>
      </c>
      <c r="E4" s="5" t="s">
        <v>13</v>
      </c>
    </row>
    <row r="5" spans="1:5" ht="51.95" customHeight="1" x14ac:dyDescent="0.25">
      <c r="A5" s="2" t="s">
        <v>14</v>
      </c>
      <c r="B5" s="3">
        <f>Premissas_e_Fontes!B7*Premissas_e_Fontes!$B$1</f>
        <v>0</v>
      </c>
      <c r="C5" s="3">
        <f>Premissas_e_Fontes!C7*Premissas_e_Fontes!$B$1</f>
        <v>67.08</v>
      </c>
      <c r="D5" s="4" t="s">
        <v>15</v>
      </c>
      <c r="E5" s="5" t="s">
        <v>16</v>
      </c>
    </row>
    <row r="6" spans="1:5" ht="51.95" customHeight="1" x14ac:dyDescent="0.25">
      <c r="A6" s="2" t="s">
        <v>17</v>
      </c>
      <c r="B6" s="3">
        <f>Premissas_e_Fontes!B8*Premissas_e_Fontes!$B$1</f>
        <v>0</v>
      </c>
      <c r="C6" s="3">
        <f>Premissas_e_Fontes!C8*Premissas_e_Fontes!$B$1</f>
        <v>149.64000000000001</v>
      </c>
      <c r="D6" s="4" t="s">
        <v>18</v>
      </c>
      <c r="E6" s="5" t="s">
        <v>19</v>
      </c>
    </row>
    <row r="7" spans="1:5" ht="51.95" customHeight="1" x14ac:dyDescent="0.25">
      <c r="A7" s="2" t="s">
        <v>20</v>
      </c>
      <c r="B7" s="3">
        <f>Premissas_e_Fontes!B9*Premissas_e_Fontes!$B$1</f>
        <v>0</v>
      </c>
      <c r="C7" s="3">
        <f>Premissas_e_Fontes!C9*Premissas_e_Fontes!$B$1</f>
        <v>201.24</v>
      </c>
      <c r="D7" s="4" t="s">
        <v>21</v>
      </c>
      <c r="E7" s="5" t="s">
        <v>22</v>
      </c>
    </row>
    <row r="8" spans="1:5" ht="51.95" customHeight="1" x14ac:dyDescent="0.25">
      <c r="A8" s="2" t="s">
        <v>23</v>
      </c>
      <c r="B8" s="3">
        <f>Premissas_e_Fontes!B10*Premissas_e_Fontes!$B$1</f>
        <v>0</v>
      </c>
      <c r="C8" s="3">
        <f>Premissas_e_Fontes!C10*Premissas_e_Fontes!$B$1</f>
        <v>98.04</v>
      </c>
      <c r="D8" s="4" t="s">
        <v>24</v>
      </c>
      <c r="E8" s="5" t="s">
        <v>25</v>
      </c>
    </row>
    <row r="9" spans="1:5" ht="51.95" customHeight="1" x14ac:dyDescent="0.25">
      <c r="A9" s="2" t="s">
        <v>26</v>
      </c>
      <c r="B9" s="3">
        <f>Premissas_e_Fontes!B11*Premissas_e_Fontes!$B$1</f>
        <v>0</v>
      </c>
      <c r="C9" s="3">
        <f>Premissas_e_Fontes!C11*Premissas_e_Fontes!$B$1</f>
        <v>77.400000000000006</v>
      </c>
      <c r="D9" s="4" t="s">
        <v>27</v>
      </c>
      <c r="E9" s="5" t="s">
        <v>28</v>
      </c>
    </row>
    <row r="10" spans="1:5" ht="51.95" customHeight="1" x14ac:dyDescent="0.25">
      <c r="A10" s="2" t="s">
        <v>29</v>
      </c>
      <c r="B10" s="3">
        <f>Premissas_e_Fontes!B12*Premissas_e_Fontes!$B$1</f>
        <v>0</v>
      </c>
      <c r="C10" s="3">
        <f>Premissas_e_Fontes!C12*Premissas_e_Fontes!$B$1</f>
        <v>252.84</v>
      </c>
      <c r="D10" s="4" t="s">
        <v>30</v>
      </c>
      <c r="E10" s="5" t="s">
        <v>31</v>
      </c>
    </row>
    <row r="11" spans="1:5" ht="51.95" customHeight="1" x14ac:dyDescent="0.25">
      <c r="A11" s="2" t="s">
        <v>32</v>
      </c>
      <c r="B11" s="3">
        <f>Premissas_e_Fontes!B13*Premissas_e_Fontes!$B$1</f>
        <v>0</v>
      </c>
      <c r="C11" s="3">
        <f>Premissas_e_Fontes!C13*Premissas_e_Fontes!$B$1</f>
        <v>2580</v>
      </c>
      <c r="D11" s="4" t="s">
        <v>33</v>
      </c>
      <c r="E11" s="5" t="s">
        <v>34</v>
      </c>
    </row>
    <row r="12" spans="1:5" ht="51.95" customHeight="1" x14ac:dyDescent="0.25">
      <c r="A12" s="2" t="s">
        <v>35</v>
      </c>
      <c r="B12" s="3">
        <f>Premissas_e_Fontes!B14*Premissas_e_Fontes!$B$1</f>
        <v>0</v>
      </c>
      <c r="C12" s="3">
        <f>Premissas_e_Fontes!C14*Premissas_e_Fontes!$B$1</f>
        <v>154.80000000000001</v>
      </c>
      <c r="D12" s="4" t="s">
        <v>36</v>
      </c>
      <c r="E12" s="5" t="s">
        <v>37</v>
      </c>
    </row>
    <row r="13" spans="1:5" ht="51.95" customHeight="1" x14ac:dyDescent="0.25">
      <c r="A13" s="2" t="s">
        <v>38</v>
      </c>
      <c r="B13" s="3">
        <f>Premissas_e_Fontes!B15*Premissas_e_Fontes!$B$1</f>
        <v>0</v>
      </c>
      <c r="C13" s="3">
        <f>Premissas_e_Fontes!C15*Premissas_e_Fontes!$B$1</f>
        <v>304.44</v>
      </c>
      <c r="D13" s="4" t="s">
        <v>39</v>
      </c>
      <c r="E13" s="5" t="s">
        <v>40</v>
      </c>
    </row>
    <row r="14" spans="1:5" ht="51.95" customHeight="1" x14ac:dyDescent="0.25">
      <c r="A14" s="2" t="s">
        <v>41</v>
      </c>
      <c r="B14" s="3">
        <f>Premissas_e_Fontes!B16*Premissas_e_Fontes!$B$1</f>
        <v>0</v>
      </c>
      <c r="C14" s="3">
        <f>Premissas_e_Fontes!C16*Premissas_e_Fontes!$B$1</f>
        <v>0</v>
      </c>
      <c r="D14" s="4" t="s">
        <v>42</v>
      </c>
      <c r="E14" s="5" t="s">
        <v>43</v>
      </c>
    </row>
    <row r="15" spans="1:5" ht="51.95" customHeight="1" x14ac:dyDescent="0.25">
      <c r="A15" s="2" t="s">
        <v>44</v>
      </c>
      <c r="B15" s="3">
        <f>Premissas_e_Fontes!B17*Premissas_e_Fontes!$B$1</f>
        <v>0</v>
      </c>
      <c r="C15" s="3">
        <f>Premissas_e_Fontes!C17*Premissas_e_Fontes!$B$1</f>
        <v>0</v>
      </c>
      <c r="D15" s="4" t="s">
        <v>45</v>
      </c>
      <c r="E15" s="5" t="s">
        <v>46</v>
      </c>
    </row>
    <row r="16" spans="1:5" ht="51.95" customHeight="1" x14ac:dyDescent="0.25">
      <c r="A16" s="2" t="s">
        <v>47</v>
      </c>
      <c r="B16" s="3">
        <f>Premissas_e_Fontes!B18*Premissas_e_Fontes!$B$1</f>
        <v>0</v>
      </c>
      <c r="C16" s="3">
        <f>Premissas_e_Fontes!C18*Premissas_e_Fontes!$B$1</f>
        <v>72.240000000000009</v>
      </c>
      <c r="D16" s="4" t="s">
        <v>48</v>
      </c>
      <c r="E16" s="5" t="s">
        <v>49</v>
      </c>
    </row>
    <row r="17" spans="1:5" ht="51.95" customHeight="1" x14ac:dyDescent="0.25">
      <c r="A17" s="2" t="s">
        <v>50</v>
      </c>
      <c r="B17" s="3">
        <f>Premissas_e_Fontes!B19*Premissas_e_Fontes!$B$1</f>
        <v>0</v>
      </c>
      <c r="C17" s="3">
        <f>Premissas_e_Fontes!C19*Premissas_e_Fontes!$B$1</f>
        <v>98.04</v>
      </c>
      <c r="D17" s="4" t="s">
        <v>51</v>
      </c>
      <c r="E17" s="5" t="s">
        <v>52</v>
      </c>
    </row>
    <row r="18" spans="1:5" ht="51.95" customHeight="1" x14ac:dyDescent="0.25">
      <c r="A18" s="2" t="s">
        <v>53</v>
      </c>
      <c r="B18" s="3">
        <f>Premissas_e_Fontes!B20*Premissas_e_Fontes!$B$1</f>
        <v>0</v>
      </c>
      <c r="C18" s="3">
        <f>Premissas_e_Fontes!C20*Premissas_e_Fontes!$B$1</f>
        <v>928.80000000000007</v>
      </c>
      <c r="D18" s="4" t="s">
        <v>54</v>
      </c>
      <c r="E18" s="5" t="s">
        <v>55</v>
      </c>
    </row>
    <row r="19" spans="1:5" ht="51.95" customHeight="1" x14ac:dyDescent="0.25">
      <c r="A19" s="2" t="s">
        <v>56</v>
      </c>
      <c r="B19" s="3">
        <f>Premissas_e_Fontes!B21*Premissas_e_Fontes!$B$1</f>
        <v>0</v>
      </c>
      <c r="C19" s="3">
        <f>Premissas_e_Fontes!C21*Premissas_e_Fontes!$B$1</f>
        <v>123.84</v>
      </c>
      <c r="D19" s="4" t="s">
        <v>57</v>
      </c>
      <c r="E19" s="5" t="s">
        <v>58</v>
      </c>
    </row>
    <row r="20" spans="1:5" ht="51.95" customHeight="1" x14ac:dyDescent="0.25">
      <c r="A20" s="2" t="s">
        <v>59</v>
      </c>
      <c r="B20" s="3">
        <f>Premissas_e_Fontes!B22*Premissas_e_Fontes!$B$1</f>
        <v>0</v>
      </c>
      <c r="C20" s="3">
        <f>Premissas_e_Fontes!C22*Premissas_e_Fontes!$B$1</f>
        <v>92.88</v>
      </c>
      <c r="D20" s="4" t="s">
        <v>60</v>
      </c>
      <c r="E20" s="5" t="s">
        <v>61</v>
      </c>
    </row>
    <row r="21" spans="1:5" ht="51.95" customHeight="1" x14ac:dyDescent="0.25">
      <c r="A21" s="2" t="s">
        <v>62</v>
      </c>
      <c r="B21" s="3">
        <f>Premissas_e_Fontes!B23*Premissas_e_Fontes!$B$1</f>
        <v>0</v>
      </c>
      <c r="C21" s="3">
        <f>Premissas_e_Fontes!C23*Premissas_e_Fontes!$B$1</f>
        <v>510.84000000000003</v>
      </c>
      <c r="D21" s="4" t="s">
        <v>63</v>
      </c>
      <c r="E21" s="5" t="s">
        <v>64</v>
      </c>
    </row>
    <row r="22" spans="1:5" ht="20.100000000000001" customHeight="1" x14ac:dyDescent="0.25">
      <c r="A22" s="6" t="s">
        <v>65</v>
      </c>
      <c r="B22" s="6">
        <f>COUNTA(A2:A21)</f>
        <v>20</v>
      </c>
      <c r="C22" s="7"/>
      <c r="D22" s="7"/>
      <c r="E22" s="7"/>
    </row>
  </sheetData>
  <autoFilter ref="A1:E22" xr:uid="{00000000-0009-0000-0000-000000000000}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23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14" customWidth="1"/>
    <col min="3" max="3" width="18" customWidth="1"/>
    <col min="4" max="4" width="90" customWidth="1"/>
  </cols>
  <sheetData>
    <row r="1" spans="1:4" x14ac:dyDescent="0.25">
      <c r="A1" t="s">
        <v>66</v>
      </c>
      <c r="B1" s="8">
        <v>5.16</v>
      </c>
    </row>
    <row r="2" spans="1:4" x14ac:dyDescent="0.25">
      <c r="A2" t="s">
        <v>67</v>
      </c>
    </row>
    <row r="3" spans="1:4" x14ac:dyDescent="0.25">
      <c r="A3" s="9" t="s">
        <v>68</v>
      </c>
      <c r="B3" s="9" t="s">
        <v>69</v>
      </c>
      <c r="C3" s="9" t="s">
        <v>70</v>
      </c>
      <c r="D3" s="9" t="s">
        <v>71</v>
      </c>
    </row>
    <row r="4" spans="1:4" x14ac:dyDescent="0.25">
      <c r="A4" s="10" t="s">
        <v>5</v>
      </c>
      <c r="B4" s="10">
        <v>0</v>
      </c>
      <c r="C4" s="10">
        <v>20</v>
      </c>
      <c r="D4" s="10" t="s">
        <v>72</v>
      </c>
    </row>
    <row r="5" spans="1:4" x14ac:dyDescent="0.25">
      <c r="A5" s="10" t="s">
        <v>8</v>
      </c>
      <c r="B5" s="10">
        <v>0</v>
      </c>
      <c r="C5" s="10">
        <v>16</v>
      </c>
      <c r="D5" s="10" t="s">
        <v>73</v>
      </c>
    </row>
    <row r="6" spans="1:4" x14ac:dyDescent="0.25">
      <c r="A6" s="10" t="s">
        <v>11</v>
      </c>
      <c r="B6" s="10">
        <v>0</v>
      </c>
      <c r="C6" s="10">
        <v>9</v>
      </c>
      <c r="D6" s="10" t="s">
        <v>74</v>
      </c>
    </row>
    <row r="7" spans="1:4" x14ac:dyDescent="0.25">
      <c r="A7" s="10" t="s">
        <v>14</v>
      </c>
      <c r="B7" s="10">
        <v>0</v>
      </c>
      <c r="C7" s="10">
        <v>13</v>
      </c>
      <c r="D7" s="10" t="s">
        <v>75</v>
      </c>
    </row>
    <row r="8" spans="1:4" x14ac:dyDescent="0.25">
      <c r="A8" s="10" t="s">
        <v>17</v>
      </c>
      <c r="B8" s="10">
        <v>0</v>
      </c>
      <c r="C8" s="10">
        <v>29</v>
      </c>
      <c r="D8" s="10" t="s">
        <v>76</v>
      </c>
    </row>
    <row r="9" spans="1:4" x14ac:dyDescent="0.25">
      <c r="A9" s="10" t="s">
        <v>20</v>
      </c>
      <c r="B9" s="10">
        <v>0</v>
      </c>
      <c r="C9" s="10">
        <v>39</v>
      </c>
      <c r="D9" s="10" t="s">
        <v>77</v>
      </c>
    </row>
    <row r="10" spans="1:4" x14ac:dyDescent="0.25">
      <c r="A10" s="10" t="s">
        <v>23</v>
      </c>
      <c r="B10" s="10">
        <v>0</v>
      </c>
      <c r="C10" s="10">
        <v>19</v>
      </c>
      <c r="D10" s="10" t="s">
        <v>78</v>
      </c>
    </row>
    <row r="11" spans="1:4" x14ac:dyDescent="0.25">
      <c r="A11" s="10" t="s">
        <v>26</v>
      </c>
      <c r="B11" s="10">
        <v>0</v>
      </c>
      <c r="C11" s="10">
        <v>15</v>
      </c>
      <c r="D11" s="10" t="s">
        <v>79</v>
      </c>
    </row>
    <row r="12" spans="1:4" x14ac:dyDescent="0.25">
      <c r="A12" s="10" t="s">
        <v>29</v>
      </c>
      <c r="B12" s="10">
        <v>0</v>
      </c>
      <c r="C12" s="10">
        <v>49</v>
      </c>
      <c r="D12" s="10" t="s">
        <v>80</v>
      </c>
    </row>
    <row r="13" spans="1:4" x14ac:dyDescent="0.25">
      <c r="A13" s="10" t="s">
        <v>32</v>
      </c>
      <c r="B13" s="10">
        <v>0</v>
      </c>
      <c r="C13" s="10">
        <v>500</v>
      </c>
      <c r="D13" s="10" t="s">
        <v>81</v>
      </c>
    </row>
    <row r="14" spans="1:4" x14ac:dyDescent="0.25">
      <c r="A14" s="10" t="s">
        <v>35</v>
      </c>
      <c r="B14" s="10">
        <v>0</v>
      </c>
      <c r="C14" s="10">
        <v>30</v>
      </c>
      <c r="D14" s="10" t="s">
        <v>82</v>
      </c>
    </row>
    <row r="15" spans="1:4" x14ac:dyDescent="0.25">
      <c r="A15" s="10" t="s">
        <v>38</v>
      </c>
      <c r="B15" s="10">
        <v>0</v>
      </c>
      <c r="C15" s="10">
        <v>59</v>
      </c>
      <c r="D15" s="10" t="s">
        <v>83</v>
      </c>
    </row>
    <row r="16" spans="1:4" x14ac:dyDescent="0.25">
      <c r="A16" s="10" t="s">
        <v>41</v>
      </c>
      <c r="B16" s="10">
        <v>0</v>
      </c>
      <c r="C16" s="10">
        <v>0</v>
      </c>
      <c r="D16" s="10" t="s">
        <v>84</v>
      </c>
    </row>
    <row r="17" spans="1:4" x14ac:dyDescent="0.25">
      <c r="A17" s="10" t="s">
        <v>44</v>
      </c>
      <c r="B17" s="10">
        <v>0</v>
      </c>
      <c r="C17" s="10">
        <v>0</v>
      </c>
      <c r="D17" s="10" t="s">
        <v>85</v>
      </c>
    </row>
    <row r="18" spans="1:4" x14ac:dyDescent="0.25">
      <c r="A18" s="10" t="s">
        <v>47</v>
      </c>
      <c r="B18" s="10">
        <v>0</v>
      </c>
      <c r="C18" s="10">
        <v>14</v>
      </c>
      <c r="D18" s="10" t="s">
        <v>86</v>
      </c>
    </row>
    <row r="19" spans="1:4" x14ac:dyDescent="0.25">
      <c r="A19" s="10" t="s">
        <v>50</v>
      </c>
      <c r="B19" s="10">
        <v>0</v>
      </c>
      <c r="C19" s="10">
        <v>19</v>
      </c>
      <c r="D19" s="10" t="s">
        <v>87</v>
      </c>
    </row>
    <row r="20" spans="1:4" x14ac:dyDescent="0.25">
      <c r="A20" s="10" t="s">
        <v>53</v>
      </c>
      <c r="B20" s="10">
        <v>0</v>
      </c>
      <c r="C20" s="10">
        <v>180</v>
      </c>
      <c r="D20" s="10" t="s">
        <v>88</v>
      </c>
    </row>
    <row r="21" spans="1:4" x14ac:dyDescent="0.25">
      <c r="A21" s="10" t="s">
        <v>56</v>
      </c>
      <c r="B21" s="10">
        <v>0</v>
      </c>
      <c r="C21" s="10">
        <v>24</v>
      </c>
      <c r="D21" s="10" t="s">
        <v>89</v>
      </c>
    </row>
    <row r="22" spans="1:4" x14ac:dyDescent="0.25">
      <c r="A22" s="10" t="s">
        <v>59</v>
      </c>
      <c r="B22" s="10">
        <v>0</v>
      </c>
      <c r="C22" s="10">
        <v>18</v>
      </c>
      <c r="D22" s="10" t="s">
        <v>90</v>
      </c>
    </row>
    <row r="23" spans="1:4" x14ac:dyDescent="0.25">
      <c r="A23" s="10" t="s">
        <v>62</v>
      </c>
      <c r="B23" s="10">
        <v>0</v>
      </c>
      <c r="C23" s="10">
        <v>99</v>
      </c>
      <c r="D23" s="10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Comparativo</vt:lpstr>
      <vt:lpstr>Premissas_e_Fontes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Zago</cp:lastModifiedBy>
  <dcterms:created xsi:type="dcterms:W3CDTF">2026-09-14T18:56:05Z</dcterms:created>
  <dcterms:modified xsi:type="dcterms:W3CDTF">2026-09-14T20:01:09Z</dcterms:modified>
</cp:coreProperties>
</file>